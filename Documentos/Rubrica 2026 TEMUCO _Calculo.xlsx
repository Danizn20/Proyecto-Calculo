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oratorio3\Desktop\"/>
    </mc:Choice>
  </mc:AlternateContent>
  <bookViews>
    <workbookView xWindow="0" yWindow="0" windowWidth="28800" windowHeight="12180"/>
  </bookViews>
  <sheets>
    <sheet name="Rúbrica" sheetId="1" r:id="rId1"/>
    <sheet name="Hoja1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2" i="2" l="1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9" i="1"/>
  <c r="J9" i="1" l="1"/>
  <c r="J30" i="1" s="1"/>
  <c r="J31" i="1" s="1"/>
  <c r="G30" i="1"/>
</calcChain>
</file>

<file path=xl/sharedStrings.xml><?xml version="1.0" encoding="utf-8"?>
<sst xmlns="http://schemas.openxmlformats.org/spreadsheetml/2006/main" count="124" uniqueCount="124">
  <si>
    <t xml:space="preserve">Asignatura: </t>
  </si>
  <si>
    <t>Número de Indicadores:</t>
  </si>
  <si>
    <t>Docente/s:</t>
  </si>
  <si>
    <t>Estudiante/s:</t>
  </si>
  <si>
    <t>Indicadores</t>
  </si>
  <si>
    <t>Ponderación en %</t>
  </si>
  <si>
    <t>Puntaje Obtenido</t>
  </si>
  <si>
    <t>Entrega</t>
  </si>
  <si>
    <t>La presentación tiene como tiempo de entrega más de un día atraso o bien entrega en un formato que no corresponde o bien no corresponde al proyecto declarado</t>
  </si>
  <si>
    <t>Etapa 1</t>
  </si>
  <si>
    <t>Cumple con la entrega de dos o menos de los elementos solicitados en la pauta de cotejo 1.</t>
  </si>
  <si>
    <t>Tema del proyecto</t>
  </si>
  <si>
    <t>Preguntas que permitan avanzar en encontrar la solución del problema de investigación.</t>
  </si>
  <si>
    <t>Todas las preguntas están relacionadas con la especialidad y además son realizables en el tiempo asignado para encontrar la solución al problema de investigación.</t>
  </si>
  <si>
    <t>Todas las preguntas están relacionadas con la especialidad, pero sólo tres de ellas son realizables en el tiempo asignado para encontrar la solución al problema de investigación.</t>
  </si>
  <si>
    <t>Todas las preguntas están relacionadas con la especialidad, pero sólo dos de ellas son realizables en el tiempo asignado para encontrar la solución al problema de investigación.</t>
  </si>
  <si>
    <t xml:space="preserve">El proyecto se enfoca en un problema o preguntas, relacionado con la especialidad, con un desafío alcanzable. </t>
  </si>
  <si>
    <t>El proyecto se enfoca en un problema que no está relacionado con la especialidad, presenta preguntas que abarca diferentes áreas.</t>
  </si>
  <si>
    <t>El proyecto no se enfoca en un problema o preguntas sobre un mismo campo. O bien, no está relacionado con la especialidad</t>
  </si>
  <si>
    <t>Nociones matemáticas del proyecto</t>
  </si>
  <si>
    <t>Agrega nociones o fundamentos matemáticos, pero la justificación de su uso no está acorde con la problemática presentada</t>
  </si>
  <si>
    <t>Agrega nociones o fundamentos matemáticos, pero no justifica su uso.</t>
  </si>
  <si>
    <t>No agrega nociones ni fundamentos matemáticos. O bien están equivocados en su uso.</t>
  </si>
  <si>
    <t>Objetivos del proyecto</t>
  </si>
  <si>
    <t>Los objetivos planteados, buscan dar respuesta a las preguntas y problemática planteada.</t>
  </si>
  <si>
    <t>Los objetivos planteados, no buscan dar respuesta a las preguntas de investigación y problemática planteada.</t>
  </si>
  <si>
    <t xml:space="preserve">No plantea objetivos del proyecto </t>
  </si>
  <si>
    <t>Etapa 2</t>
  </si>
  <si>
    <t>Cumple con la entrega de los siete elementos solicitados pauta de cotejo etapa 2.</t>
  </si>
  <si>
    <t>Cumple con la entrega de cinco a seis elementos solicitados pauta de cotejo etapa 2.</t>
  </si>
  <si>
    <t>Cumple con la entrega de dos o menos elementos solicitados.</t>
  </si>
  <si>
    <t>Herramientas tecnológicas</t>
  </si>
  <si>
    <t xml:space="preserve">Incorporan herramientas tecnológicas que optimiza el proceso del ciclo de ABPro. Justifican su uso. </t>
  </si>
  <si>
    <t>Incorporan herramientas tecnológicas, pero no justifican su uso.</t>
  </si>
  <si>
    <t>Incorporan una herramienta tecnológica que no optimiza el proceso del ciclo de ABPro.</t>
  </si>
  <si>
    <t xml:space="preserve">No incorporan herramientas tecnológicas que optimizan el proceso del ciclo de ABPro. </t>
  </si>
  <si>
    <t>Indagación constante</t>
  </si>
  <si>
    <t>La indagación no se realiza en una semana, según consta en la bitácora o, es limitada, puede ser breve y ocurrir tres o cuatro veces en el proyecto, pero los estudiantes constantemente desarrollan y evalúan soluciones y contribuyen con nuevas preguntas.</t>
  </si>
  <si>
    <t>La indagación es limitada, puede ser breve y ocurrir una o dos veces en el proyecto; la búsqueda de información es la tarea principal. Los estudiantes generan preguntas, pero no todas están relacionadas con el objetivo. No hay evidencia en la bitácora</t>
  </si>
  <si>
    <t>El proyecto es más bien una actividad de hacer o construir cosas que un proceso extendido de indagación. No existe un proceso para que los estudiantes generen preguntas que guíen la indagación.</t>
  </si>
  <si>
    <t>Bitácora</t>
  </si>
  <si>
    <t>Entregan una bitácora como evidencia, describiendo al menos seis acciones realizadas como grupo con fechas diferentes.</t>
  </si>
  <si>
    <t>Entregan una bitácora como evidencia, describiendo cuatro a cinco acciones/tareas realizadas como equipo con fechas diferentes.</t>
  </si>
  <si>
    <t>Construcción de conocimientos, comprensión y habilidades (recopilar y evaluar información)</t>
  </si>
  <si>
    <t>Integra suficiente información relevante para responder las preguntas. Esta información al menos contrasta con cuatro fuentes por información.</t>
  </si>
  <si>
    <t>Integra la información para responder las preguntas: pero esta información al menos contrasta con dos fuentes por información.</t>
  </si>
  <si>
    <t>Integra la información para responder las preguntas: pero puede ser muy poca o demasiada información (sin analizar) o de algunas fuentes irrelevantes, es decir que no tienen que ver con la investigación.</t>
  </si>
  <si>
    <t>No integra información para responder las preguntas de investigación.</t>
  </si>
  <si>
    <t>Construcción de conocimientos, comprensión y habilidades (fuentes de información)</t>
  </si>
  <si>
    <t>Encuentra tres o más fuentes de maneras o lugares para obtener información (expertos, miembros de la comunidad, empresas), además de las usuales.</t>
  </si>
  <si>
    <t>Encuentra dos fuentes de información que no son usuales y complementa con otras fuentes usuales.</t>
  </si>
  <si>
    <t>Encuentra sólo una fuente de información que no son usuales y complementa con otras fuentes usuales.</t>
  </si>
  <si>
    <t>Usa sólo fuentes de información usuales como google, wikipedia o similar (páginas web, libros, artículos).</t>
  </si>
  <si>
    <t>Los estudiantes no consideran la retroalimentación realizada por el docente en etapa una y dos, no presentando las mejoras en su trabajo, este carece de estructura, o no tiene argumento para refutarla.</t>
  </si>
  <si>
    <t>Desarrollo y revisión de ideas y producto</t>
  </si>
  <si>
    <t>Hay una descripción, clara del diseño del proyecto, se presentan los instrumentos, y se indican los procedimientos de análisis a utilizar.
 Hay congruencia entre el diseño, el planteamiento y conceptos matemáticos.</t>
  </si>
  <si>
    <t>Hay una descripción, pero ésta muestra un desarrollo que no esta completo en el diseño del proyecto.   Hay congruencia entre el diseño, el planteamiento y conceptos matemáticos, pero no es clara.</t>
  </si>
  <si>
    <t>Hay una descripción, pero ésta no muestra un desarrollo claro en el diseño del proyecto, los instrumentos, procedimientos de análisis o no hay congruencia entre el diseño, el planteamiento y conceptos matemáticos</t>
  </si>
  <si>
    <t>No hay una descripción clara del diseño del proyecto, los instrumentos, procedimientos de análisis y
 no hay congruencia entre el diseño,el planteamiento y los conceptos matemáticos.</t>
  </si>
  <si>
    <t>Ideas e información (especialidad)</t>
  </si>
  <si>
    <t>Selecciona información, desarrolla ideas y usa un estilo apropiado al propósito y siempre en relación a la especialidad.</t>
  </si>
  <si>
    <t xml:space="preserve">Selecciona información, desarrollar ideas y usar un estilo apropiados para el propósito (no concuerdan en su totalidad con la especialidad) </t>
  </si>
  <si>
    <t>Selecciona información o desarrolla de ideas, pero no concuerdan totalmente con la especialidad.</t>
  </si>
  <si>
    <t>No selecciona de información, o desarrollo de ideas y estilo son inapropiados para el propósito (no concuerda con su especialidad)</t>
  </si>
  <si>
    <t>Presentación (Instrucciones)</t>
  </si>
  <si>
    <t>Cumple con la mayoría de los requerimientos con respecto a lo que debe ser incluido en la presentación respetando formato y orden.
Generalmente organiza bien el tiempo, considerando la duración solicitada de 10 a 15 minutos, además todos los miembros del equipo participan en proporción.</t>
  </si>
  <si>
    <t>Conclusiones y reflexiones</t>
  </si>
  <si>
    <t>Presenta la información relevante, bien organizada sustentada con gráficas, cuadros y demás elementos pertinentes.
 La(s) diapositiva(s) está organizada apropiadamente en función de los objetivos del trabajo y el planteamiento teórico que lo sustenta. Las conclusiones ofrecen un panorama y una valoración general adecuadamente planteada.</t>
  </si>
  <si>
    <t>Presenta la información relevante,  esta no esta organizada, sustentada con gráficas, cuadros o demás elementos pertinentes.
 La(s) diapositiva(s)  no está organizada apropiadamente en función de los objetivos del trabajo o el planteamiento teórico que lo sustenta. Conclusiones en general no son claras, escuetas o poco asociadas al resto del trabajo.</t>
  </si>
  <si>
    <t xml:space="preserve">Presenta la información relevante, no organizada y  no esta sustentada con gráficas, conceptos matemáticos y demás elementos pertinentes, que presentan errores. La(s) diapositiva(s) no está organizada en función de los objetivos del trabajo y el planteamiento teórico que lo sustenta.
No hay conclusiones claras, o, por el contrario, repiten lo señalado en los resultados. </t>
  </si>
  <si>
    <t xml:space="preserve">Presenta información irrelevante, desorganizada, con errores significativos en conceptos usados, gráficas o tablas. 
La(s) diapositivas no estan organizadas. No hay conclusiones. </t>
  </si>
  <si>
    <t>Ortografía, redacción y referencias</t>
  </si>
  <si>
    <t>Las ideas están expresadas con total claridad y no presentan errores gramaticales ni ortográficos, además presentan todas las citas explicitas y válidas en la realización del proyecto en el formato solicitado.</t>
  </si>
  <si>
    <t>Las ideas están expresadas con claridad y presentan entre uno a dos errores gramaticales y/o ortográficos, además realizan algunas citas de las fuentes utilizadas en el formato solicitado.</t>
  </si>
  <si>
    <t>Las ideas están expresadas con falta de claridad y presentan entre tres a cuatro errores gramaticales y/o ortográficos,o bien, realizan todas las citas de las fuentes utilizadas, pero presentan errores en el formato indicado.</t>
  </si>
  <si>
    <t>Las ideas no se expresan con claridad y/o presentan más de cinco errores gramaticales y/o ortográficos, o bien, no realizan citas en el formato indicado de las fuentes utilizadas para la elaboración del proyecto.</t>
  </si>
  <si>
    <t>Presentación del producto resultado de la investigación de su proyecto</t>
  </si>
  <si>
    <t>Presenta el producto resultado de la investigación de su proyecto, terminado y sin errores.</t>
  </si>
  <si>
    <t>Presenta el producto resultado de la investigación de su proyecto, pero este presenta errores.</t>
  </si>
  <si>
    <t>Presenta el producto resultado de la investigación de su proyecto, pero está incompleto.</t>
  </si>
  <si>
    <t>No presenta el producto resultado de la investigación de su proyecto.</t>
  </si>
  <si>
    <t>Ponderación Total</t>
  </si>
  <si>
    <t>Definición del proyecto PROBLEMATICA</t>
  </si>
  <si>
    <t>LOGRO</t>
  </si>
  <si>
    <t>NOTA</t>
  </si>
  <si>
    <t>Puntaje</t>
  </si>
  <si>
    <t>Nota</t>
  </si>
  <si>
    <t>Logro Ponderado</t>
  </si>
  <si>
    <t>Logro Parcial</t>
  </si>
  <si>
    <t>Destacado (7)</t>
  </si>
  <si>
    <t>Habilitado (5)</t>
  </si>
  <si>
    <t>En desarrollo (3)</t>
  </si>
  <si>
    <t>No logrado (1)</t>
  </si>
  <si>
    <t>Cumple con la entrega de los ocho elementos solicitados, en la pauta de cotejo 1.</t>
  </si>
  <si>
    <t>Cumple con la entrega de cinco a siete de los elementos solicitados en la pauta de cotejo 1.</t>
  </si>
  <si>
    <t>Cumple con la entrega de tres a cuatro de los elementos solicitados en la pauta de cotejo 1.</t>
  </si>
  <si>
    <t>El tema seleccionado para el proyecto está totalmente relacionado con la especialidad y está relacionado con los temas matemáticos de la cuarta unidad u otra noción matemática</t>
  </si>
  <si>
    <t>El tema seleccionado está totalmente relacionado con la especialidad y con alguna noción matemática, pero presenta errores en el uso de la matemática.</t>
  </si>
  <si>
    <t>El tema seleccionado para el proyecto no está relacionado con la especialidad o bien no utiliza conceptos matemáticos.</t>
  </si>
  <si>
    <t>El tema seleccionado para el proyecto no está relacionado con la especialidad, ni con conceptos matemáticos.</t>
  </si>
  <si>
    <t>Todas las preguntas están relacionadas con la especialidad, pero objetivamente no se pueden abordar en el tiempo definido para encontrar solución al problema de investigación o bien no es accesible la información para abordarlas.</t>
  </si>
  <si>
    <t>El proyecto se enfoca en un problema relacionado con la especialidad, sin embargo, no lo sustenta con información técnica de la especialidad o con algún experto del área</t>
  </si>
  <si>
    <t>Los objetivos planteados, buscan dar respuestas a algunas de las preguntas de investigación o problemática planteada.</t>
  </si>
  <si>
    <t>Cumple con la entrega de tres a cuatro elementos solicitados pauta de cotejo etapa 2.</t>
  </si>
  <si>
    <t xml:space="preserve">La indagación es sostenida a lo largo del periodo dado, rigurosa académicamente, se interpretan datos, desarrollan y evalúan soluciones, contribuyen para generar respuestas y nuevas preguntas, los registros de los avances están explícitos en los registros de la bitácora. </t>
  </si>
  <si>
    <t>Gestión del equipo</t>
  </si>
  <si>
    <t>Todos los integrantes del equipo tienen un rol y responsabilidad fundamental estos se evidencian a través de los registros de la bitácora y lo observado por el docente en cada clase.</t>
  </si>
  <si>
    <t>Todos los integrantes del equipo tienen un rol y responsabilidad fundamental pero sólo se evidencia en dos o cuatro integrantes a través de los registros de la bitácora y lo observado por el docente en cada clase.</t>
  </si>
  <si>
    <t>Al menos un integrante del equipo tiene un rol y responsabilidad fundamental la que se evidencia a través de los registros de la bitácora y lo observado por el docente en cada clase.</t>
  </si>
  <si>
    <t>Los integrantes del equipo no tienen un rol y ni responsabilidad fundamental pero sólo se tiene algunos registros de lo observado por el docente en cada clase.</t>
  </si>
  <si>
    <t>Entregan una bitácora como evidencia, describiendo tres o dos acciones/tareas realizadas como equipo con fechas diferentes, o bien, presenta tareas no realizadas o atrasadas en su realización</t>
  </si>
  <si>
    <t>Entregan una bitácora como evidencia, describiendo menos de dos acciones/tareas realizadas como equipo con fechas diferentes, o bien, no estrega una bitácora.</t>
  </si>
  <si>
    <t>Crítica y revisión</t>
  </si>
  <si>
    <t>Los estudiantes incorporan todas las retroalimentaciones de la etapa uno y dos, sugeridas en las mejoras de su trabajo, su trabajo es estructurado.
En caso de no acogerlas, fundamentan sólidamente su decisión.</t>
  </si>
  <si>
    <t>Los estudiantes incorporan las retroalimentaciones sugeridas en las etapas uno y dos sugeridas en las mejoras de su trabajo,pero su estructura no es completamente como la sugerida, o su argumento para no realizarla tiene contradicciones o falsedades.</t>
  </si>
  <si>
    <t>Los estudiantes incorporan las retroalimentaciones sugeridas en las mejoras de su trabajo,pero sólo consideran las retrolalimentaciones de una de las etapas (uno o dos) y no se presentan argumentos que refuten las retroalimentaciones de la otra etapa no mejorada.</t>
  </si>
  <si>
    <t>Agrega nociones matemáticas declaradas en la tercera unidad u otras nociones matemáticas justificando su uso y está acorde con la problemática presentada.</t>
  </si>
  <si>
    <t xml:space="preserve">La presentación es entregada en el tiempo correspondiente, en archivo digital, sin embargo, carece de imágenes. </t>
  </si>
  <si>
    <t>La presentación tiene 1 día de atraso.</t>
  </si>
  <si>
    <t>La presentación es entregada en el tiempo correspondiente, en archivo digital,  el cual contiene imágenes del proceso del desarrollo del trabajo.</t>
  </si>
  <si>
    <t>No cumple los requerimientos con respecto a lo que debe ser incluido en la presentación respetando formato y orden.
Usa el tiempo de manera poco adecuada, además tiene una duración que no es la solicitada, de más de 15 minutos, o bien,  no todos los miembros del grupo participan.</t>
  </si>
  <si>
    <t>Cumple con todos los requerimientos con respecto a lo que debe ser incluido en la presentación respetando formato y orden.
Organiza bien el tiempo, además se considera la duración solicitada de 10 a 15 minutos, todos los miembros del equipo participan activamente en toda la exposición oral y en la misma proporción.</t>
  </si>
  <si>
    <t>Cumple con algunos de los requerimientos con respecto a lo que debe ser incluido en la presentación respetando formato y orden.
Generalmente organiza bien el tiempo pero la duración de la presentación es de menos 10 minutos, o bien todos los miembros del equipo participan en la exposición oral, pero no en la misma proporción.</t>
  </si>
  <si>
    <t>Temuco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</si>
</sst>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Open Sans"/>
      <family val="2"/>
    </font>
    <font>
      <b/>
      <sz val="10"/>
      <name val="Open Sans"/>
      <family val="2"/>
    </font>
    <font>
      <sz val="10"/>
      <name val="Open Sans"/>
      <family val="2"/>
    </font>
    <font>
      <b/>
      <sz val="12"/>
      <color theme="1" tint="0.249977111117893"/>
      <name val="Open Sans"/>
      <family val="2"/>
    </font>
    <font>
      <b/>
      <sz val="10"/>
      <color theme="0"/>
      <name val="Open Sans"/>
      <family val="2"/>
    </font>
    <font>
      <b/>
      <sz val="10"/>
      <color theme="1"/>
      <name val="Open Sans"/>
      <family val="2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8"/>
      <color theme="1"/>
      <name val="Open Sans"/>
      <family val="2"/>
    </font>
    <font>
      <b/>
      <sz val="18"/>
      <color theme="0"/>
      <name val="Open Sans"/>
      <family val="2"/>
    </font>
    <font>
      <b/>
      <sz val="10"/>
      <color rgb="FFFFFFFF"/>
      <name val="Open Sans"/>
      <family val="2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sz val="10"/>
      <color rgb="FF000000"/>
      <name val="Open Sans"/>
      <family val="2"/>
    </font>
    <font>
      <b/>
      <sz val="9"/>
      <color rgb="FF000000"/>
      <name val="Calibri"/>
      <family val="2"/>
    </font>
    <font>
      <sz val="8"/>
      <color rgb="FF000000"/>
      <name val="Calibri"/>
      <family val="2"/>
    </font>
    <font>
      <b/>
      <sz val="14"/>
      <name val="Open Sans"/>
      <family val="2"/>
    </font>
    <font>
      <sz val="14"/>
      <name val="Open Sans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2" borderId="1" applyNumberFormat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0" applyFont="1"/>
    <xf numFmtId="0" fontId="4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4" fillId="5" borderId="0" xfId="0" applyFont="1" applyFill="1" applyProtection="1">
      <protection locked="0"/>
    </xf>
    <xf numFmtId="0" fontId="4" fillId="5" borderId="0" xfId="3" applyFont="1" applyFill="1" applyBorder="1" applyAlignment="1" applyProtection="1">
      <alignment horizontal="right"/>
      <protection locked="0"/>
    </xf>
    <xf numFmtId="0" fontId="4" fillId="5" borderId="0" xfId="3" applyFont="1" applyFill="1" applyBorder="1" applyAlignment="1" applyProtection="1">
      <alignment horizontal="left"/>
      <protection locked="0"/>
    </xf>
    <xf numFmtId="0" fontId="4" fillId="5" borderId="0" xfId="3" applyFont="1" applyFill="1" applyBorder="1" applyAlignment="1" applyProtection="1">
      <alignment horizontal="center"/>
      <protection locked="0"/>
    </xf>
    <xf numFmtId="0" fontId="8" fillId="6" borderId="5" xfId="3" applyFont="1" applyFill="1" applyBorder="1" applyAlignment="1" applyProtection="1">
      <alignment horizontal="center" vertical="center" wrapText="1"/>
      <protection locked="0"/>
    </xf>
    <xf numFmtId="0" fontId="8" fillId="6" borderId="5" xfId="3" applyFont="1" applyFill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5" borderId="0" xfId="0" applyFont="1" applyFill="1"/>
    <xf numFmtId="0" fontId="8" fillId="6" borderId="0" xfId="1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10" fillId="0" borderId="6" xfId="0" applyFont="1" applyBorder="1" applyAlignment="1">
      <alignment vertical="center" wrapText="1"/>
    </xf>
    <xf numFmtId="0" fontId="11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4" fillId="0" borderId="7" xfId="0" applyFont="1" applyBorder="1" applyAlignment="1">
      <alignment horizontal="center" vertical="center"/>
    </xf>
    <xf numFmtId="9" fontId="4" fillId="0" borderId="6" xfId="4" applyFont="1" applyBorder="1" applyAlignment="1">
      <alignment horizontal="center" vertical="center"/>
    </xf>
    <xf numFmtId="10" fontId="4" fillId="0" borderId="6" xfId="4" applyNumberFormat="1" applyFont="1" applyBorder="1" applyAlignment="1">
      <alignment horizontal="center" vertical="center"/>
    </xf>
    <xf numFmtId="9" fontId="12" fillId="7" borderId="6" xfId="0" applyNumberFormat="1" applyFont="1" applyFill="1" applyBorder="1" applyAlignment="1">
      <alignment horizontal="center" vertical="center"/>
    </xf>
    <xf numFmtId="164" fontId="12" fillId="7" borderId="6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8" fillId="6" borderId="10" xfId="3" applyFont="1" applyFill="1" applyBorder="1" applyAlignment="1" applyProtection="1">
      <alignment horizontal="center" vertical="center" wrapText="1"/>
      <protection locked="0"/>
    </xf>
    <xf numFmtId="0" fontId="9" fillId="0" borderId="11" xfId="0" applyFont="1" applyBorder="1" applyAlignment="1">
      <alignment horizontal="center" vertical="center"/>
    </xf>
    <xf numFmtId="0" fontId="14" fillId="6" borderId="6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16" fillId="0" borderId="6" xfId="0" applyFont="1" applyBorder="1" applyAlignment="1">
      <alignment vertical="center" wrapText="1"/>
    </xf>
    <xf numFmtId="0" fontId="17" fillId="0" borderId="6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vertical="center" wrapText="1"/>
    </xf>
    <xf numFmtId="0" fontId="19" fillId="8" borderId="6" xfId="0" applyFont="1" applyFill="1" applyBorder="1" applyAlignment="1">
      <alignment vertical="center" wrapText="1"/>
    </xf>
    <xf numFmtId="0" fontId="18" fillId="0" borderId="6" xfId="0" applyFont="1" applyBorder="1" applyAlignment="1">
      <alignment horizontal="center" vertical="center"/>
    </xf>
    <xf numFmtId="164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center" wrapText="1"/>
    </xf>
    <xf numFmtId="0" fontId="7" fillId="0" borderId="2" xfId="2" applyFont="1" applyFill="1" applyBorder="1" applyAlignment="1" applyProtection="1">
      <alignment horizontal="center" vertical="center"/>
      <protection locked="0"/>
    </xf>
    <xf numFmtId="0" fontId="7" fillId="0" borderId="3" xfId="2" applyFont="1" applyFill="1" applyBorder="1" applyAlignment="1" applyProtection="1">
      <alignment horizontal="center" vertical="center"/>
      <protection locked="0"/>
    </xf>
    <xf numFmtId="0" fontId="7" fillId="0" borderId="4" xfId="2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20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left" vertical="center"/>
      <protection locked="0"/>
    </xf>
  </cellXfs>
  <cellStyles count="5">
    <cellStyle name="40% - Énfasis2" xfId="3" builtinId="35"/>
    <cellStyle name="Énfasis2" xfId="2" builtinId="33"/>
    <cellStyle name="Normal" xfId="0" builtinId="0"/>
    <cellStyle name="Porcentaje" xfId="4" builtinId="5"/>
    <cellStyle name="Sali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1940719</xdr:colOff>
      <xdr:row>0</xdr:row>
      <xdr:rowOff>173976</xdr:rowOff>
    </xdr:from>
    <xdr:to>
      <xdr:col>9</xdr:col>
      <xdr:colOff>3468543</xdr:colOff>
      <xdr:row>0</xdr:row>
      <xdr:rowOff>762102</xdr:rowOff>
    </xdr:to>
    <xdr:pic>
      <xdr:nvPicPr>
        <xdr:cNvPr id="2" name="0 Imagen" descr="image0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933" b="-2005"/>
        <a:stretch/>
      </xdr:blipFill>
      <xdr:spPr bwMode="auto">
        <a:xfrm>
          <a:off x="15871032" y="173976"/>
          <a:ext cx="1527824" cy="5881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47625</xdr:colOff>
      <xdr:row>0</xdr:row>
      <xdr:rowOff>114300</xdr:rowOff>
    </xdr:from>
    <xdr:to>
      <xdr:col>2</xdr:col>
      <xdr:colOff>1485900</xdr:colOff>
      <xdr:row>0</xdr:row>
      <xdr:rowOff>895350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914525" y="114300"/>
          <a:ext cx="4133850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Nombre</a:t>
          </a:r>
          <a:r>
            <a:rPr lang="es-CL" sz="1100" baseline="0"/>
            <a:t> del Área Académica Ciencias Básicas</a:t>
          </a:r>
        </a:p>
        <a:p>
          <a:r>
            <a:rPr lang="es-CL" sz="1100" baseline="0"/>
            <a:t>Nombre del Programa</a:t>
          </a:r>
        </a:p>
        <a:p>
          <a:r>
            <a:rPr lang="es-CL" sz="1100" baseline="0"/>
            <a:t>Docente Elaborador: Giselle Mora - Franccesca Donoso</a:t>
          </a:r>
        </a:p>
        <a:p>
          <a:r>
            <a:rPr lang="es-CL" sz="1100" baseline="0"/>
            <a:t>Docente Validador: Antonio Figueroa</a:t>
          </a:r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tabSelected="1" zoomScale="90" zoomScaleNormal="90" workbookViewId="0">
      <selection activeCell="E2" sqref="E2"/>
    </sheetView>
  </sheetViews>
  <sheetFormatPr baseColWidth="10" defaultColWidth="11.42578125" defaultRowHeight="12.75"/>
  <cols>
    <col min="1" max="1" width="5.42578125" style="1" customWidth="1"/>
    <col min="2" max="2" width="28.28515625" style="1" customWidth="1"/>
    <col min="3" max="6" width="26.28515625" style="1" customWidth="1"/>
    <col min="7" max="7" width="20.140625" style="1" customWidth="1"/>
    <col min="8" max="8" width="21.28515625" style="1" customWidth="1"/>
    <col min="9" max="9" width="13.42578125" style="1" customWidth="1"/>
    <col min="10" max="10" width="54.42578125" style="1" customWidth="1"/>
    <col min="11" max="11" width="11.42578125" style="1"/>
    <col min="12" max="12" width="11.42578125" style="1" hidden="1" customWidth="1"/>
    <col min="13" max="16384" width="11.42578125" style="1"/>
  </cols>
  <sheetData>
    <row r="1" spans="1:17" ht="78" customHeight="1">
      <c r="B1" s="42"/>
      <c r="C1" s="42"/>
      <c r="D1" s="42"/>
      <c r="E1" s="42"/>
      <c r="F1" s="42"/>
      <c r="G1" s="42"/>
      <c r="H1" s="42"/>
      <c r="I1" s="42"/>
      <c r="J1" s="42"/>
    </row>
    <row r="2" spans="1:17" ht="18">
      <c r="B2" s="43" t="s">
        <v>0</v>
      </c>
      <c r="C2" s="43"/>
      <c r="D2" s="43"/>
      <c r="E2" s="14"/>
      <c r="F2" s="2"/>
      <c r="G2" s="44" t="s">
        <v>1</v>
      </c>
      <c r="H2" s="44"/>
      <c r="I2" s="44"/>
      <c r="J2" s="3">
        <v>21</v>
      </c>
    </row>
    <row r="3" spans="1:17" ht="18">
      <c r="B3" s="43" t="s">
        <v>2</v>
      </c>
      <c r="C3" s="43"/>
      <c r="D3" s="43"/>
      <c r="E3" s="14"/>
      <c r="F3" s="2"/>
      <c r="G3" s="2"/>
      <c r="H3" s="2"/>
      <c r="I3" s="2"/>
      <c r="J3" s="2"/>
    </row>
    <row r="4" spans="1:17" ht="18">
      <c r="B4" s="43" t="s">
        <v>3</v>
      </c>
      <c r="C4" s="43"/>
      <c r="D4" s="43"/>
      <c r="E4" s="14"/>
      <c r="F4" s="2"/>
      <c r="G4" s="2"/>
      <c r="H4" s="2"/>
      <c r="I4" s="2"/>
      <c r="J4" s="2"/>
    </row>
    <row r="5" spans="1:17" ht="18.75" thickBot="1">
      <c r="B5" s="43" t="s">
        <v>123</v>
      </c>
      <c r="C5" s="45"/>
      <c r="D5" s="45"/>
      <c r="E5" s="3"/>
      <c r="F5" s="2"/>
      <c r="G5" s="2"/>
      <c r="H5" s="2"/>
      <c r="I5" s="2"/>
      <c r="J5" s="2"/>
    </row>
    <row r="6" spans="1:17" ht="33" customHeight="1" thickBot="1">
      <c r="B6" s="39"/>
      <c r="C6" s="40"/>
      <c r="D6" s="40"/>
      <c r="E6" s="40"/>
      <c r="F6" s="40"/>
      <c r="G6" s="40"/>
      <c r="H6" s="40"/>
      <c r="I6" s="40"/>
      <c r="J6" s="41"/>
    </row>
    <row r="7" spans="1:17">
      <c r="B7" s="5"/>
      <c r="C7" s="6"/>
      <c r="D7" s="7"/>
      <c r="E7" s="7"/>
      <c r="F7" s="7"/>
      <c r="G7" s="7"/>
      <c r="H7" s="7"/>
      <c r="I7" s="7"/>
      <c r="J7" s="4"/>
    </row>
    <row r="8" spans="1:17" ht="25.5">
      <c r="B8" s="26" t="s">
        <v>4</v>
      </c>
      <c r="C8" s="26" t="s">
        <v>89</v>
      </c>
      <c r="D8" s="26" t="s">
        <v>90</v>
      </c>
      <c r="E8" s="26" t="s">
        <v>91</v>
      </c>
      <c r="F8" s="26" t="s">
        <v>92</v>
      </c>
      <c r="G8" s="27" t="s">
        <v>5</v>
      </c>
      <c r="H8" s="24" t="s">
        <v>6</v>
      </c>
      <c r="I8" s="8" t="s">
        <v>87</v>
      </c>
      <c r="J8" s="9" t="s">
        <v>88</v>
      </c>
    </row>
    <row r="9" spans="1:17" s="11" customFormat="1" ht="85.5" customHeight="1">
      <c r="A9" s="11">
        <v>1</v>
      </c>
      <c r="B9" s="28" t="s">
        <v>7</v>
      </c>
      <c r="C9" s="29" t="s">
        <v>119</v>
      </c>
      <c r="D9" s="29" t="s">
        <v>117</v>
      </c>
      <c r="E9" s="29" t="s">
        <v>118</v>
      </c>
      <c r="F9" s="29" t="s">
        <v>8</v>
      </c>
      <c r="G9" s="30">
        <v>2</v>
      </c>
      <c r="H9" s="18">
        <v>7</v>
      </c>
      <c r="I9" s="19">
        <f>H9/6-1/6</f>
        <v>1</v>
      </c>
      <c r="J9" s="20">
        <f>I9*G9/100</f>
        <v>0.02</v>
      </c>
      <c r="Q9" s="23"/>
    </row>
    <row r="10" spans="1:17" ht="96" customHeight="1">
      <c r="A10" s="1">
        <v>2</v>
      </c>
      <c r="B10" s="31" t="s">
        <v>9</v>
      </c>
      <c r="C10" s="32" t="s">
        <v>93</v>
      </c>
      <c r="D10" s="32" t="s">
        <v>94</v>
      </c>
      <c r="E10" s="32" t="s">
        <v>95</v>
      </c>
      <c r="F10" s="32" t="s">
        <v>10</v>
      </c>
      <c r="G10" s="30">
        <v>2</v>
      </c>
      <c r="H10" s="18">
        <v>7</v>
      </c>
      <c r="I10" s="19">
        <f t="shared" ref="I10:I29" si="0">H10/6-1/6</f>
        <v>1</v>
      </c>
      <c r="J10" s="20">
        <f t="shared" ref="J10:J29" si="1">I10*G10/100</f>
        <v>0.02</v>
      </c>
      <c r="L10" s="1">
        <v>7</v>
      </c>
    </row>
    <row r="11" spans="1:17" ht="84" customHeight="1">
      <c r="A11" s="1">
        <v>3</v>
      </c>
      <c r="B11" s="31" t="s">
        <v>11</v>
      </c>
      <c r="C11" s="32" t="s">
        <v>96</v>
      </c>
      <c r="D11" s="32" t="s">
        <v>97</v>
      </c>
      <c r="E11" s="33" t="s">
        <v>98</v>
      </c>
      <c r="F11" s="33" t="s">
        <v>99</v>
      </c>
      <c r="G11" s="30">
        <v>10</v>
      </c>
      <c r="H11" s="18">
        <v>7</v>
      </c>
      <c r="I11" s="19">
        <f t="shared" si="0"/>
        <v>1</v>
      </c>
      <c r="J11" s="20">
        <f t="shared" si="1"/>
        <v>0.1</v>
      </c>
      <c r="L11" s="11">
        <v>5</v>
      </c>
    </row>
    <row r="12" spans="1:17" ht="93" customHeight="1">
      <c r="A12" s="11">
        <v>4</v>
      </c>
      <c r="B12" s="31" t="s">
        <v>12</v>
      </c>
      <c r="C12" s="32" t="s">
        <v>13</v>
      </c>
      <c r="D12" s="32" t="s">
        <v>14</v>
      </c>
      <c r="E12" s="32" t="s">
        <v>15</v>
      </c>
      <c r="F12" s="29" t="s">
        <v>100</v>
      </c>
      <c r="G12" s="30">
        <v>5</v>
      </c>
      <c r="H12" s="18">
        <v>7</v>
      </c>
      <c r="I12" s="19">
        <f t="shared" si="0"/>
        <v>1</v>
      </c>
      <c r="J12" s="20">
        <f t="shared" si="1"/>
        <v>0.05</v>
      </c>
      <c r="L12" s="1">
        <v>3</v>
      </c>
    </row>
    <row r="13" spans="1:17" ht="84.75" customHeight="1">
      <c r="A13" s="1">
        <v>5</v>
      </c>
      <c r="B13" s="31" t="s">
        <v>82</v>
      </c>
      <c r="C13" s="32" t="s">
        <v>16</v>
      </c>
      <c r="D13" s="32" t="s">
        <v>101</v>
      </c>
      <c r="E13" s="32" t="s">
        <v>17</v>
      </c>
      <c r="F13" s="29" t="s">
        <v>18</v>
      </c>
      <c r="G13" s="30">
        <v>5</v>
      </c>
      <c r="H13" s="18">
        <v>7</v>
      </c>
      <c r="I13" s="19">
        <f t="shared" si="0"/>
        <v>1</v>
      </c>
      <c r="J13" s="20">
        <f t="shared" si="1"/>
        <v>0.05</v>
      </c>
      <c r="L13" s="1">
        <v>1</v>
      </c>
    </row>
    <row r="14" spans="1:17" ht="87" customHeight="1">
      <c r="A14" s="1">
        <v>6</v>
      </c>
      <c r="B14" s="31" t="s">
        <v>19</v>
      </c>
      <c r="C14" s="32" t="s">
        <v>116</v>
      </c>
      <c r="D14" s="32" t="s">
        <v>20</v>
      </c>
      <c r="E14" s="32" t="s">
        <v>21</v>
      </c>
      <c r="F14" s="32" t="s">
        <v>22</v>
      </c>
      <c r="G14" s="30">
        <v>10</v>
      </c>
      <c r="H14" s="18">
        <v>7</v>
      </c>
      <c r="I14" s="19">
        <f t="shared" si="0"/>
        <v>1</v>
      </c>
      <c r="J14" s="20">
        <f t="shared" si="1"/>
        <v>0.1</v>
      </c>
    </row>
    <row r="15" spans="1:17" ht="82.5" customHeight="1">
      <c r="A15" s="11">
        <v>7</v>
      </c>
      <c r="B15" s="34" t="s">
        <v>23</v>
      </c>
      <c r="C15" s="32" t="s">
        <v>24</v>
      </c>
      <c r="D15" s="32" t="s">
        <v>102</v>
      </c>
      <c r="E15" s="32" t="s">
        <v>25</v>
      </c>
      <c r="F15" s="29" t="s">
        <v>26</v>
      </c>
      <c r="G15" s="30">
        <v>5</v>
      </c>
      <c r="H15" s="18">
        <v>7</v>
      </c>
      <c r="I15" s="19">
        <f t="shared" si="0"/>
        <v>1</v>
      </c>
      <c r="J15" s="20">
        <f t="shared" si="1"/>
        <v>0.05</v>
      </c>
    </row>
    <row r="16" spans="1:17" ht="81.75" customHeight="1">
      <c r="A16" s="1">
        <v>8</v>
      </c>
      <c r="B16" s="31" t="s">
        <v>27</v>
      </c>
      <c r="C16" s="32" t="s">
        <v>28</v>
      </c>
      <c r="D16" s="32" t="s">
        <v>29</v>
      </c>
      <c r="E16" s="32" t="s">
        <v>103</v>
      </c>
      <c r="F16" s="32" t="s">
        <v>30</v>
      </c>
      <c r="G16" s="30">
        <v>2</v>
      </c>
      <c r="H16" s="18">
        <v>7</v>
      </c>
      <c r="I16" s="19">
        <f t="shared" si="0"/>
        <v>1</v>
      </c>
      <c r="J16" s="20">
        <f t="shared" si="1"/>
        <v>0.02</v>
      </c>
    </row>
    <row r="17" spans="1:10" ht="54" customHeight="1">
      <c r="A17" s="1">
        <v>9</v>
      </c>
      <c r="B17" s="34" t="s">
        <v>31</v>
      </c>
      <c r="C17" s="32" t="s">
        <v>32</v>
      </c>
      <c r="D17" s="32" t="s">
        <v>33</v>
      </c>
      <c r="E17" s="32" t="s">
        <v>34</v>
      </c>
      <c r="F17" s="32" t="s">
        <v>35</v>
      </c>
      <c r="G17" s="30">
        <v>3</v>
      </c>
      <c r="H17" s="18">
        <v>7</v>
      </c>
      <c r="I17" s="19">
        <f t="shared" si="0"/>
        <v>1</v>
      </c>
      <c r="J17" s="20">
        <f t="shared" si="1"/>
        <v>0.03</v>
      </c>
    </row>
    <row r="18" spans="1:10" ht="96" customHeight="1">
      <c r="A18" s="1">
        <v>10</v>
      </c>
      <c r="B18" s="31" t="s">
        <v>36</v>
      </c>
      <c r="C18" s="32" t="s">
        <v>104</v>
      </c>
      <c r="D18" s="32" t="s">
        <v>37</v>
      </c>
      <c r="E18" s="32" t="s">
        <v>38</v>
      </c>
      <c r="F18" s="32" t="s">
        <v>39</v>
      </c>
      <c r="G18" s="30">
        <v>8</v>
      </c>
      <c r="H18" s="18">
        <v>7</v>
      </c>
      <c r="I18" s="19">
        <f t="shared" si="0"/>
        <v>1</v>
      </c>
      <c r="J18" s="20">
        <f t="shared" si="1"/>
        <v>0.08</v>
      </c>
    </row>
    <row r="19" spans="1:10" ht="96.75" customHeight="1">
      <c r="A19" s="1">
        <v>11</v>
      </c>
      <c r="B19" s="31" t="s">
        <v>105</v>
      </c>
      <c r="C19" s="32" t="s">
        <v>106</v>
      </c>
      <c r="D19" s="32" t="s">
        <v>107</v>
      </c>
      <c r="E19" s="32" t="s">
        <v>108</v>
      </c>
      <c r="F19" s="32" t="s">
        <v>109</v>
      </c>
      <c r="G19" s="30">
        <v>1</v>
      </c>
      <c r="H19" s="18">
        <v>7</v>
      </c>
      <c r="I19" s="19">
        <f t="shared" si="0"/>
        <v>1</v>
      </c>
      <c r="J19" s="20">
        <f t="shared" si="1"/>
        <v>0.01</v>
      </c>
    </row>
    <row r="20" spans="1:10" ht="84" customHeight="1">
      <c r="A20" s="1">
        <v>12</v>
      </c>
      <c r="B20" s="31" t="s">
        <v>40</v>
      </c>
      <c r="C20" s="32" t="s">
        <v>41</v>
      </c>
      <c r="D20" s="32" t="s">
        <v>42</v>
      </c>
      <c r="E20" s="32" t="s">
        <v>110</v>
      </c>
      <c r="F20" s="33" t="s">
        <v>111</v>
      </c>
      <c r="G20" s="30">
        <v>2</v>
      </c>
      <c r="H20" s="18">
        <v>7</v>
      </c>
      <c r="I20" s="19">
        <f t="shared" si="0"/>
        <v>1</v>
      </c>
      <c r="J20" s="20">
        <f t="shared" si="1"/>
        <v>0.02</v>
      </c>
    </row>
    <row r="21" spans="1:10" ht="93" customHeight="1">
      <c r="A21" s="1">
        <v>13</v>
      </c>
      <c r="B21" s="31" t="s">
        <v>43</v>
      </c>
      <c r="C21" s="32" t="s">
        <v>44</v>
      </c>
      <c r="D21" s="32" t="s">
        <v>45</v>
      </c>
      <c r="E21" s="32" t="s">
        <v>46</v>
      </c>
      <c r="F21" s="32" t="s">
        <v>47</v>
      </c>
      <c r="G21" s="30">
        <v>3</v>
      </c>
      <c r="H21" s="18">
        <v>7</v>
      </c>
      <c r="I21" s="19">
        <f t="shared" si="0"/>
        <v>1</v>
      </c>
      <c r="J21" s="20">
        <f t="shared" si="1"/>
        <v>0.03</v>
      </c>
    </row>
    <row r="22" spans="1:10" ht="73.5" customHeight="1">
      <c r="B22" s="31" t="s">
        <v>48</v>
      </c>
      <c r="C22" s="32" t="s">
        <v>49</v>
      </c>
      <c r="D22" s="32" t="s">
        <v>50</v>
      </c>
      <c r="E22" s="32" t="s">
        <v>51</v>
      </c>
      <c r="F22" s="32" t="s">
        <v>52</v>
      </c>
      <c r="G22" s="30">
        <v>3</v>
      </c>
      <c r="H22" s="18">
        <v>7</v>
      </c>
      <c r="I22" s="19">
        <f t="shared" si="0"/>
        <v>1</v>
      </c>
      <c r="J22" s="20">
        <f t="shared" si="1"/>
        <v>0.03</v>
      </c>
    </row>
    <row r="23" spans="1:10" ht="92.25" customHeight="1">
      <c r="A23" s="1">
        <v>15</v>
      </c>
      <c r="B23" s="16" t="s">
        <v>112</v>
      </c>
      <c r="C23" s="15" t="s">
        <v>113</v>
      </c>
      <c r="D23" s="15" t="s">
        <v>114</v>
      </c>
      <c r="E23" s="15" t="s">
        <v>115</v>
      </c>
      <c r="F23" s="15" t="s">
        <v>53</v>
      </c>
      <c r="G23" s="10">
        <v>5</v>
      </c>
      <c r="H23" s="18">
        <v>7</v>
      </c>
      <c r="I23" s="19">
        <f t="shared" si="0"/>
        <v>1</v>
      </c>
      <c r="J23" s="20">
        <f t="shared" si="1"/>
        <v>0.05</v>
      </c>
    </row>
    <row r="24" spans="1:10" ht="102" customHeight="1">
      <c r="A24" s="1">
        <v>16</v>
      </c>
      <c r="B24" s="16" t="s">
        <v>54</v>
      </c>
      <c r="C24" s="15" t="s">
        <v>55</v>
      </c>
      <c r="D24" s="17" t="s">
        <v>56</v>
      </c>
      <c r="E24" s="15" t="s">
        <v>57</v>
      </c>
      <c r="F24" s="15" t="s">
        <v>58</v>
      </c>
      <c r="G24" s="10">
        <v>5</v>
      </c>
      <c r="H24" s="18">
        <v>7</v>
      </c>
      <c r="I24" s="19">
        <f t="shared" si="0"/>
        <v>1</v>
      </c>
      <c r="J24" s="20">
        <f t="shared" si="1"/>
        <v>0.05</v>
      </c>
    </row>
    <row r="25" spans="1:10" ht="87.75" customHeight="1">
      <c r="A25" s="1">
        <v>17</v>
      </c>
      <c r="B25" s="16" t="s">
        <v>59</v>
      </c>
      <c r="C25" s="17" t="s">
        <v>60</v>
      </c>
      <c r="D25" s="15" t="s">
        <v>61</v>
      </c>
      <c r="E25" s="15" t="s">
        <v>62</v>
      </c>
      <c r="F25" s="15" t="s">
        <v>63</v>
      </c>
      <c r="G25" s="10">
        <v>3</v>
      </c>
      <c r="H25" s="18">
        <v>7</v>
      </c>
      <c r="I25" s="19">
        <f t="shared" si="0"/>
        <v>1</v>
      </c>
      <c r="J25" s="20">
        <f t="shared" si="1"/>
        <v>0.03</v>
      </c>
    </row>
    <row r="26" spans="1:10" ht="138.75" customHeight="1">
      <c r="A26" s="1">
        <v>18</v>
      </c>
      <c r="B26" s="16" t="s">
        <v>64</v>
      </c>
      <c r="C26" s="15" t="s">
        <v>121</v>
      </c>
      <c r="D26" s="15" t="s">
        <v>65</v>
      </c>
      <c r="E26" s="15" t="s">
        <v>122</v>
      </c>
      <c r="F26" s="15" t="s">
        <v>120</v>
      </c>
      <c r="G26" s="10">
        <v>3</v>
      </c>
      <c r="H26" s="18">
        <v>7</v>
      </c>
      <c r="I26" s="19">
        <f t="shared" si="0"/>
        <v>1</v>
      </c>
      <c r="J26" s="20">
        <f t="shared" si="1"/>
        <v>0.03</v>
      </c>
    </row>
    <row r="27" spans="1:10" ht="150" customHeight="1">
      <c r="A27" s="1">
        <v>19</v>
      </c>
      <c r="B27" s="16" t="s">
        <v>66</v>
      </c>
      <c r="C27" s="15" t="s">
        <v>67</v>
      </c>
      <c r="D27" s="15" t="s">
        <v>68</v>
      </c>
      <c r="E27" s="15" t="s">
        <v>69</v>
      </c>
      <c r="F27" s="15" t="s">
        <v>70</v>
      </c>
      <c r="G27" s="10">
        <v>10</v>
      </c>
      <c r="H27" s="18">
        <v>7</v>
      </c>
      <c r="I27" s="19">
        <f t="shared" si="0"/>
        <v>1</v>
      </c>
      <c r="J27" s="20">
        <f t="shared" si="1"/>
        <v>0.1</v>
      </c>
    </row>
    <row r="28" spans="1:10" ht="85.5" customHeight="1">
      <c r="A28" s="1">
        <v>20</v>
      </c>
      <c r="B28" s="16" t="s">
        <v>71</v>
      </c>
      <c r="C28" s="15" t="s">
        <v>72</v>
      </c>
      <c r="D28" s="15" t="s">
        <v>73</v>
      </c>
      <c r="E28" s="15" t="s">
        <v>74</v>
      </c>
      <c r="F28" s="15" t="s">
        <v>75</v>
      </c>
      <c r="G28" s="10">
        <v>3</v>
      </c>
      <c r="H28" s="18">
        <v>7</v>
      </c>
      <c r="I28" s="19">
        <f t="shared" si="0"/>
        <v>1</v>
      </c>
      <c r="J28" s="20">
        <f t="shared" si="1"/>
        <v>0.03</v>
      </c>
    </row>
    <row r="29" spans="1:10" ht="75" customHeight="1">
      <c r="A29" s="1">
        <v>21</v>
      </c>
      <c r="B29" s="16" t="s">
        <v>76</v>
      </c>
      <c r="C29" s="15" t="s">
        <v>77</v>
      </c>
      <c r="D29" s="15" t="s">
        <v>78</v>
      </c>
      <c r="E29" s="15" t="s">
        <v>79</v>
      </c>
      <c r="F29" s="15" t="s">
        <v>80</v>
      </c>
      <c r="G29" s="10">
        <v>10</v>
      </c>
      <c r="H29" s="18">
        <v>7</v>
      </c>
      <c r="I29" s="19">
        <f t="shared" si="0"/>
        <v>1</v>
      </c>
      <c r="J29" s="20">
        <f t="shared" si="1"/>
        <v>0.1</v>
      </c>
    </row>
    <row r="30" spans="1:10" ht="39" customHeight="1">
      <c r="C30" s="12"/>
      <c r="D30" s="12"/>
      <c r="E30" s="12"/>
      <c r="F30" s="13" t="s">
        <v>81</v>
      </c>
      <c r="G30" s="25">
        <f>SUM(G9:G29)</f>
        <v>100</v>
      </c>
      <c r="H30" s="37" t="s">
        <v>83</v>
      </c>
      <c r="I30" s="38"/>
      <c r="J30" s="21">
        <f>SUM(J9:J29)</f>
        <v>1.0000000000000002</v>
      </c>
    </row>
    <row r="31" spans="1:10" ht="40.15" customHeight="1">
      <c r="H31" s="37" t="s">
        <v>84</v>
      </c>
      <c r="I31" s="38"/>
      <c r="J31" s="22">
        <f>VLOOKUP(ROUND(J30*100,0),Hoja1!A:B,2,FALSE)</f>
        <v>7</v>
      </c>
    </row>
  </sheetData>
  <mergeCells count="9">
    <mergeCell ref="H30:I30"/>
    <mergeCell ref="H31:I31"/>
    <mergeCell ref="B6:J6"/>
    <mergeCell ref="B1:J1"/>
    <mergeCell ref="B2:D2"/>
    <mergeCell ref="G2:I2"/>
    <mergeCell ref="B3:D3"/>
    <mergeCell ref="B4:D4"/>
    <mergeCell ref="B5:D5"/>
  </mergeCells>
  <dataValidations count="1">
    <dataValidation type="list" allowBlank="1" showInputMessage="1" showErrorMessage="1" sqref="H9:H29">
      <formula1>$L$10:$L$13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2"/>
  <sheetViews>
    <sheetView topLeftCell="A34" workbookViewId="0">
      <selection activeCell="E10" sqref="E10"/>
    </sheetView>
  </sheetViews>
  <sheetFormatPr baseColWidth="10" defaultRowHeight="15"/>
  <cols>
    <col min="1" max="1" width="7.42578125" bestFit="1" customWidth="1"/>
    <col min="2" max="2" width="5.28515625" bestFit="1" customWidth="1"/>
  </cols>
  <sheetData>
    <row r="1" spans="1:2">
      <c r="A1" s="36" t="s">
        <v>85</v>
      </c>
      <c r="B1" s="36" t="s">
        <v>86</v>
      </c>
    </row>
    <row r="2" spans="1:2">
      <c r="A2" s="36">
        <v>0</v>
      </c>
      <c r="B2" s="36">
        <v>1</v>
      </c>
    </row>
    <row r="3" spans="1:2">
      <c r="A3" s="36">
        <v>1</v>
      </c>
      <c r="B3" s="35">
        <f t="shared" ref="B3:B21" si="0">(3/60)*(A3)+1</f>
        <v>1.05</v>
      </c>
    </row>
    <row r="4" spans="1:2">
      <c r="A4" s="36">
        <v>2</v>
      </c>
      <c r="B4" s="35">
        <f t="shared" si="0"/>
        <v>1.1000000000000001</v>
      </c>
    </row>
    <row r="5" spans="1:2">
      <c r="A5" s="36">
        <v>3</v>
      </c>
      <c r="B5" s="35">
        <f t="shared" si="0"/>
        <v>1.1499999999999999</v>
      </c>
    </row>
    <row r="6" spans="1:2">
      <c r="A6" s="36">
        <v>4</v>
      </c>
      <c r="B6" s="35">
        <f t="shared" si="0"/>
        <v>1.2</v>
      </c>
    </row>
    <row r="7" spans="1:2">
      <c r="A7" s="36">
        <v>5</v>
      </c>
      <c r="B7" s="35">
        <f t="shared" si="0"/>
        <v>1.25</v>
      </c>
    </row>
    <row r="8" spans="1:2">
      <c r="A8" s="36">
        <v>6</v>
      </c>
      <c r="B8" s="35">
        <f t="shared" si="0"/>
        <v>1.3</v>
      </c>
    </row>
    <row r="9" spans="1:2">
      <c r="A9" s="36">
        <v>7</v>
      </c>
      <c r="B9" s="35">
        <f t="shared" si="0"/>
        <v>1.35</v>
      </c>
    </row>
    <row r="10" spans="1:2">
      <c r="A10" s="36">
        <v>8</v>
      </c>
      <c r="B10" s="35">
        <f t="shared" si="0"/>
        <v>1.4</v>
      </c>
    </row>
    <row r="11" spans="1:2">
      <c r="A11" s="36">
        <v>9</v>
      </c>
      <c r="B11" s="35">
        <f t="shared" si="0"/>
        <v>1.45</v>
      </c>
    </row>
    <row r="12" spans="1:2">
      <c r="A12" s="36">
        <v>10</v>
      </c>
      <c r="B12" s="35">
        <f t="shared" si="0"/>
        <v>1.5</v>
      </c>
    </row>
    <row r="13" spans="1:2">
      <c r="A13" s="36">
        <v>11</v>
      </c>
      <c r="B13" s="35">
        <f t="shared" si="0"/>
        <v>1.55</v>
      </c>
    </row>
    <row r="14" spans="1:2">
      <c r="A14" s="36">
        <v>12</v>
      </c>
      <c r="B14" s="35">
        <f t="shared" si="0"/>
        <v>1.6</v>
      </c>
    </row>
    <row r="15" spans="1:2">
      <c r="A15" s="36">
        <v>13</v>
      </c>
      <c r="B15" s="35">
        <f t="shared" si="0"/>
        <v>1.65</v>
      </c>
    </row>
    <row r="16" spans="1:2">
      <c r="A16" s="36">
        <v>14</v>
      </c>
      <c r="B16" s="35">
        <f t="shared" si="0"/>
        <v>1.7000000000000002</v>
      </c>
    </row>
    <row r="17" spans="1:2">
      <c r="A17" s="36">
        <v>15</v>
      </c>
      <c r="B17" s="35">
        <f t="shared" si="0"/>
        <v>1.75</v>
      </c>
    </row>
    <row r="18" spans="1:2">
      <c r="A18" s="36">
        <v>16</v>
      </c>
      <c r="B18" s="35">
        <f t="shared" si="0"/>
        <v>1.8</v>
      </c>
    </row>
    <row r="19" spans="1:2">
      <c r="A19" s="36">
        <v>17</v>
      </c>
      <c r="B19" s="35">
        <f t="shared" si="0"/>
        <v>1.85</v>
      </c>
    </row>
    <row r="20" spans="1:2">
      <c r="A20" s="36">
        <v>18</v>
      </c>
      <c r="B20" s="35">
        <f t="shared" si="0"/>
        <v>1.9</v>
      </c>
    </row>
    <row r="21" spans="1:2">
      <c r="A21" s="36">
        <v>19</v>
      </c>
      <c r="B21" s="35">
        <f t="shared" si="0"/>
        <v>1.9500000000000002</v>
      </c>
    </row>
    <row r="22" spans="1:2">
      <c r="A22" s="36">
        <v>20</v>
      </c>
      <c r="B22" s="35">
        <f>(3/60)*(A22)+1</f>
        <v>2</v>
      </c>
    </row>
    <row r="23" spans="1:2">
      <c r="A23" s="36">
        <v>21</v>
      </c>
      <c r="B23" s="35">
        <f t="shared" ref="B23:B61" si="1">(3/60)*(A23)+1</f>
        <v>2.0499999999999998</v>
      </c>
    </row>
    <row r="24" spans="1:2">
      <c r="A24" s="36">
        <v>22</v>
      </c>
      <c r="B24" s="35">
        <f t="shared" si="1"/>
        <v>2.1</v>
      </c>
    </row>
    <row r="25" spans="1:2">
      <c r="A25" s="36">
        <v>23</v>
      </c>
      <c r="B25" s="35">
        <f t="shared" si="1"/>
        <v>2.1500000000000004</v>
      </c>
    </row>
    <row r="26" spans="1:2">
      <c r="A26" s="36">
        <v>24</v>
      </c>
      <c r="B26" s="35">
        <f t="shared" si="1"/>
        <v>2.2000000000000002</v>
      </c>
    </row>
    <row r="27" spans="1:2">
      <c r="A27" s="36">
        <v>25</v>
      </c>
      <c r="B27" s="35">
        <f t="shared" si="1"/>
        <v>2.25</v>
      </c>
    </row>
    <row r="28" spans="1:2">
      <c r="A28" s="36">
        <v>26</v>
      </c>
      <c r="B28" s="35">
        <f t="shared" si="1"/>
        <v>2.2999999999999998</v>
      </c>
    </row>
    <row r="29" spans="1:2">
      <c r="A29" s="36">
        <v>27</v>
      </c>
      <c r="B29" s="35">
        <f t="shared" si="1"/>
        <v>2.35</v>
      </c>
    </row>
    <row r="30" spans="1:2">
      <c r="A30" s="36">
        <v>28</v>
      </c>
      <c r="B30" s="35">
        <f t="shared" si="1"/>
        <v>2.4000000000000004</v>
      </c>
    </row>
    <row r="31" spans="1:2">
      <c r="A31" s="36">
        <v>29</v>
      </c>
      <c r="B31" s="35">
        <f t="shared" si="1"/>
        <v>2.4500000000000002</v>
      </c>
    </row>
    <row r="32" spans="1:2">
      <c r="A32" s="36">
        <v>30</v>
      </c>
      <c r="B32" s="35">
        <f t="shared" si="1"/>
        <v>2.5</v>
      </c>
    </row>
    <row r="33" spans="1:2">
      <c r="A33" s="36">
        <v>31</v>
      </c>
      <c r="B33" s="35">
        <f t="shared" si="1"/>
        <v>2.5499999999999998</v>
      </c>
    </row>
    <row r="34" spans="1:2">
      <c r="A34" s="36">
        <v>32</v>
      </c>
      <c r="B34" s="35">
        <f t="shared" si="1"/>
        <v>2.6</v>
      </c>
    </row>
    <row r="35" spans="1:2">
      <c r="A35" s="36">
        <v>33</v>
      </c>
      <c r="B35" s="35">
        <f t="shared" si="1"/>
        <v>2.6500000000000004</v>
      </c>
    </row>
    <row r="36" spans="1:2">
      <c r="A36" s="36">
        <v>34</v>
      </c>
      <c r="B36" s="35">
        <f t="shared" si="1"/>
        <v>2.7</v>
      </c>
    </row>
    <row r="37" spans="1:2">
      <c r="A37" s="36">
        <v>35</v>
      </c>
      <c r="B37" s="35">
        <f t="shared" si="1"/>
        <v>2.75</v>
      </c>
    </row>
    <row r="38" spans="1:2">
      <c r="A38" s="36">
        <v>36</v>
      </c>
      <c r="B38" s="35">
        <f t="shared" si="1"/>
        <v>2.8</v>
      </c>
    </row>
    <row r="39" spans="1:2">
      <c r="A39" s="36">
        <v>37</v>
      </c>
      <c r="B39" s="35">
        <f t="shared" si="1"/>
        <v>2.85</v>
      </c>
    </row>
    <row r="40" spans="1:2">
      <c r="A40" s="36">
        <v>38</v>
      </c>
      <c r="B40" s="35">
        <f t="shared" si="1"/>
        <v>2.9000000000000004</v>
      </c>
    </row>
    <row r="41" spans="1:2">
      <c r="A41" s="36">
        <v>39</v>
      </c>
      <c r="B41" s="35">
        <f t="shared" si="1"/>
        <v>2.95</v>
      </c>
    </row>
    <row r="42" spans="1:2">
      <c r="A42" s="36">
        <v>40</v>
      </c>
      <c r="B42" s="35">
        <f t="shared" si="1"/>
        <v>3</v>
      </c>
    </row>
    <row r="43" spans="1:2">
      <c r="A43" s="36">
        <v>41</v>
      </c>
      <c r="B43" s="35">
        <f t="shared" si="1"/>
        <v>3.0500000000000003</v>
      </c>
    </row>
    <row r="44" spans="1:2">
      <c r="A44" s="36">
        <v>42</v>
      </c>
      <c r="B44" s="35">
        <f t="shared" si="1"/>
        <v>3.1</v>
      </c>
    </row>
    <row r="45" spans="1:2">
      <c r="A45" s="36">
        <v>43</v>
      </c>
      <c r="B45" s="35">
        <f t="shared" si="1"/>
        <v>3.15</v>
      </c>
    </row>
    <row r="46" spans="1:2">
      <c r="A46" s="36">
        <v>44</v>
      </c>
      <c r="B46" s="35">
        <f t="shared" si="1"/>
        <v>3.2</v>
      </c>
    </row>
    <row r="47" spans="1:2">
      <c r="A47" s="36">
        <v>45</v>
      </c>
      <c r="B47" s="35">
        <f t="shared" si="1"/>
        <v>3.25</v>
      </c>
    </row>
    <row r="48" spans="1:2">
      <c r="A48" s="36">
        <v>46</v>
      </c>
      <c r="B48" s="35">
        <f t="shared" si="1"/>
        <v>3.3000000000000003</v>
      </c>
    </row>
    <row r="49" spans="1:2">
      <c r="A49" s="36">
        <v>47</v>
      </c>
      <c r="B49" s="35">
        <f t="shared" si="1"/>
        <v>3.35</v>
      </c>
    </row>
    <row r="50" spans="1:2">
      <c r="A50" s="36">
        <v>48</v>
      </c>
      <c r="B50" s="35">
        <f t="shared" si="1"/>
        <v>3.4000000000000004</v>
      </c>
    </row>
    <row r="51" spans="1:2">
      <c r="A51" s="36">
        <v>49</v>
      </c>
      <c r="B51" s="35">
        <f t="shared" si="1"/>
        <v>3.45</v>
      </c>
    </row>
    <row r="52" spans="1:2">
      <c r="A52" s="36">
        <v>50</v>
      </c>
      <c r="B52" s="35">
        <f t="shared" si="1"/>
        <v>3.5</v>
      </c>
    </row>
    <row r="53" spans="1:2">
      <c r="A53" s="36">
        <v>51</v>
      </c>
      <c r="B53" s="35">
        <f t="shared" si="1"/>
        <v>3.5500000000000003</v>
      </c>
    </row>
    <row r="54" spans="1:2">
      <c r="A54" s="36">
        <v>52</v>
      </c>
      <c r="B54" s="35">
        <f t="shared" si="1"/>
        <v>3.6</v>
      </c>
    </row>
    <row r="55" spans="1:2">
      <c r="A55" s="36">
        <v>53</v>
      </c>
      <c r="B55" s="35">
        <f t="shared" si="1"/>
        <v>3.6500000000000004</v>
      </c>
    </row>
    <row r="56" spans="1:2">
      <c r="A56" s="36">
        <v>54</v>
      </c>
      <c r="B56" s="35">
        <f t="shared" si="1"/>
        <v>3.7</v>
      </c>
    </row>
    <row r="57" spans="1:2">
      <c r="A57" s="36">
        <v>55</v>
      </c>
      <c r="B57" s="35">
        <f t="shared" si="1"/>
        <v>3.75</v>
      </c>
    </row>
    <row r="58" spans="1:2">
      <c r="A58" s="36">
        <v>56</v>
      </c>
      <c r="B58" s="35">
        <f t="shared" si="1"/>
        <v>3.8000000000000003</v>
      </c>
    </row>
    <row r="59" spans="1:2">
      <c r="A59" s="36">
        <v>57</v>
      </c>
      <c r="B59" s="35">
        <f t="shared" si="1"/>
        <v>3.85</v>
      </c>
    </row>
    <row r="60" spans="1:2">
      <c r="A60" s="36">
        <v>58</v>
      </c>
      <c r="B60" s="35">
        <f t="shared" si="1"/>
        <v>3.9000000000000004</v>
      </c>
    </row>
    <row r="61" spans="1:2">
      <c r="A61" s="36">
        <v>59</v>
      </c>
      <c r="B61" s="35">
        <f t="shared" si="1"/>
        <v>3.95</v>
      </c>
    </row>
    <row r="62" spans="1:2">
      <c r="A62" s="36">
        <v>60</v>
      </c>
      <c r="B62" s="35">
        <f>(3/60)*(A62)+1</f>
        <v>4</v>
      </c>
    </row>
    <row r="63" spans="1:2">
      <c r="A63" s="36">
        <v>61</v>
      </c>
      <c r="B63" s="35">
        <f t="shared" ref="B63:B81" si="2">(3/40)*(A63-60)+4</f>
        <v>4.0750000000000002</v>
      </c>
    </row>
    <row r="64" spans="1:2">
      <c r="A64" s="36">
        <v>62</v>
      </c>
      <c r="B64" s="35">
        <f t="shared" si="2"/>
        <v>4.1500000000000004</v>
      </c>
    </row>
    <row r="65" spans="1:2">
      <c r="A65" s="36">
        <v>63</v>
      </c>
      <c r="B65" s="35">
        <f t="shared" si="2"/>
        <v>4.2249999999999996</v>
      </c>
    </row>
    <row r="66" spans="1:2">
      <c r="A66" s="36">
        <v>64</v>
      </c>
      <c r="B66" s="35">
        <f t="shared" si="2"/>
        <v>4.3</v>
      </c>
    </row>
    <row r="67" spans="1:2">
      <c r="A67" s="36">
        <v>65</v>
      </c>
      <c r="B67" s="35">
        <f t="shared" si="2"/>
        <v>4.375</v>
      </c>
    </row>
    <row r="68" spans="1:2">
      <c r="A68" s="36">
        <v>66</v>
      </c>
      <c r="B68" s="35">
        <f t="shared" si="2"/>
        <v>4.45</v>
      </c>
    </row>
    <row r="69" spans="1:2">
      <c r="A69" s="36">
        <v>67</v>
      </c>
      <c r="B69" s="35">
        <f t="shared" si="2"/>
        <v>4.5250000000000004</v>
      </c>
    </row>
    <row r="70" spans="1:2">
      <c r="A70" s="36">
        <v>68</v>
      </c>
      <c r="B70" s="35">
        <f t="shared" si="2"/>
        <v>4.5999999999999996</v>
      </c>
    </row>
    <row r="71" spans="1:2">
      <c r="A71" s="36">
        <v>69</v>
      </c>
      <c r="B71" s="35">
        <f t="shared" si="2"/>
        <v>4.6749999999999998</v>
      </c>
    </row>
    <row r="72" spans="1:2">
      <c r="A72" s="36">
        <v>70</v>
      </c>
      <c r="B72" s="35">
        <f t="shared" si="2"/>
        <v>4.75</v>
      </c>
    </row>
    <row r="73" spans="1:2">
      <c r="A73" s="36">
        <v>71</v>
      </c>
      <c r="B73" s="35">
        <f t="shared" si="2"/>
        <v>4.8250000000000002</v>
      </c>
    </row>
    <row r="74" spans="1:2">
      <c r="A74" s="36">
        <v>72</v>
      </c>
      <c r="B74" s="35">
        <f t="shared" si="2"/>
        <v>4.9000000000000004</v>
      </c>
    </row>
    <row r="75" spans="1:2">
      <c r="A75" s="36">
        <v>73</v>
      </c>
      <c r="B75" s="35">
        <f t="shared" si="2"/>
        <v>4.9749999999999996</v>
      </c>
    </row>
    <row r="76" spans="1:2">
      <c r="A76" s="36">
        <v>74</v>
      </c>
      <c r="B76" s="35">
        <f t="shared" si="2"/>
        <v>5.05</v>
      </c>
    </row>
    <row r="77" spans="1:2">
      <c r="A77" s="36">
        <v>75</v>
      </c>
      <c r="B77" s="35">
        <f t="shared" si="2"/>
        <v>5.125</v>
      </c>
    </row>
    <row r="78" spans="1:2">
      <c r="A78" s="36">
        <v>76</v>
      </c>
      <c r="B78" s="35">
        <f t="shared" si="2"/>
        <v>5.2</v>
      </c>
    </row>
    <row r="79" spans="1:2">
      <c r="A79" s="36">
        <v>77</v>
      </c>
      <c r="B79" s="35">
        <f t="shared" si="2"/>
        <v>5.2750000000000004</v>
      </c>
    </row>
    <row r="80" spans="1:2">
      <c r="A80" s="36">
        <v>78</v>
      </c>
      <c r="B80" s="35">
        <f t="shared" si="2"/>
        <v>5.35</v>
      </c>
    </row>
    <row r="81" spans="1:2">
      <c r="A81" s="36">
        <v>79</v>
      </c>
      <c r="B81" s="35">
        <f t="shared" si="2"/>
        <v>5.4249999999999998</v>
      </c>
    </row>
    <row r="82" spans="1:2">
      <c r="A82" s="36">
        <v>80</v>
      </c>
      <c r="B82" s="35">
        <f>(3/40)*(A82-60)+4</f>
        <v>5.5</v>
      </c>
    </row>
    <row r="83" spans="1:2">
      <c r="A83" s="36">
        <v>81</v>
      </c>
      <c r="B83" s="35">
        <f t="shared" ref="B83:B102" si="3">(3/40)*(A83-60)+4</f>
        <v>5.5750000000000002</v>
      </c>
    </row>
    <row r="84" spans="1:2">
      <c r="A84" s="36">
        <v>82</v>
      </c>
      <c r="B84" s="35">
        <f t="shared" si="3"/>
        <v>5.65</v>
      </c>
    </row>
    <row r="85" spans="1:2">
      <c r="A85" s="36">
        <v>83</v>
      </c>
      <c r="B85" s="35">
        <f t="shared" si="3"/>
        <v>5.7249999999999996</v>
      </c>
    </row>
    <row r="86" spans="1:2">
      <c r="A86" s="36">
        <v>84</v>
      </c>
      <c r="B86" s="35">
        <f t="shared" si="3"/>
        <v>5.8</v>
      </c>
    </row>
    <row r="87" spans="1:2">
      <c r="A87" s="36">
        <v>85</v>
      </c>
      <c r="B87" s="35">
        <f t="shared" si="3"/>
        <v>5.875</v>
      </c>
    </row>
    <row r="88" spans="1:2">
      <c r="A88" s="36">
        <v>86</v>
      </c>
      <c r="B88" s="35">
        <f t="shared" si="3"/>
        <v>5.95</v>
      </c>
    </row>
    <row r="89" spans="1:2">
      <c r="A89" s="36">
        <v>87</v>
      </c>
      <c r="B89" s="35">
        <f t="shared" si="3"/>
        <v>6.0250000000000004</v>
      </c>
    </row>
    <row r="90" spans="1:2">
      <c r="A90" s="36">
        <v>88</v>
      </c>
      <c r="B90" s="35">
        <f t="shared" si="3"/>
        <v>6.1</v>
      </c>
    </row>
    <row r="91" spans="1:2">
      <c r="A91" s="36">
        <v>89</v>
      </c>
      <c r="B91" s="35">
        <f t="shared" si="3"/>
        <v>6.1749999999999998</v>
      </c>
    </row>
    <row r="92" spans="1:2">
      <c r="A92" s="36">
        <v>90</v>
      </c>
      <c r="B92" s="35">
        <f t="shared" si="3"/>
        <v>6.25</v>
      </c>
    </row>
    <row r="93" spans="1:2">
      <c r="A93" s="36">
        <v>91</v>
      </c>
      <c r="B93" s="35">
        <f t="shared" si="3"/>
        <v>6.3249999999999993</v>
      </c>
    </row>
    <row r="94" spans="1:2">
      <c r="A94" s="36">
        <v>92</v>
      </c>
      <c r="B94" s="35">
        <f t="shared" si="3"/>
        <v>6.4</v>
      </c>
    </row>
    <row r="95" spans="1:2">
      <c r="A95" s="36">
        <v>93</v>
      </c>
      <c r="B95" s="35">
        <f t="shared" si="3"/>
        <v>6.4749999999999996</v>
      </c>
    </row>
    <row r="96" spans="1:2">
      <c r="A96" s="36">
        <v>94</v>
      </c>
      <c r="B96" s="35">
        <f t="shared" si="3"/>
        <v>6.55</v>
      </c>
    </row>
    <row r="97" spans="1:2">
      <c r="A97" s="36">
        <v>95</v>
      </c>
      <c r="B97" s="35">
        <f t="shared" si="3"/>
        <v>6.625</v>
      </c>
    </row>
    <row r="98" spans="1:2">
      <c r="A98" s="36">
        <v>96</v>
      </c>
      <c r="B98" s="35">
        <f t="shared" si="3"/>
        <v>6.6999999999999993</v>
      </c>
    </row>
    <row r="99" spans="1:2">
      <c r="A99" s="36">
        <v>97</v>
      </c>
      <c r="B99" s="35">
        <f t="shared" si="3"/>
        <v>6.7750000000000004</v>
      </c>
    </row>
    <row r="100" spans="1:2">
      <c r="A100" s="36">
        <v>98</v>
      </c>
      <c r="B100" s="35">
        <f t="shared" si="3"/>
        <v>6.85</v>
      </c>
    </row>
    <row r="101" spans="1:2">
      <c r="A101" s="36">
        <v>99</v>
      </c>
      <c r="B101" s="35">
        <f t="shared" si="3"/>
        <v>6.9249999999999998</v>
      </c>
    </row>
    <row r="102" spans="1:2">
      <c r="A102" s="36">
        <v>100</v>
      </c>
      <c r="B102" s="35">
        <f t="shared" si="3"/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18e1d99-ad59-48f1-b4b7-e09c670c428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2A84260D04624A8B717A5811981AC4" ma:contentTypeVersion="16" ma:contentTypeDescription="Create a new document." ma:contentTypeScope="" ma:versionID="78ec2117f7e2a26e85b2e503ca3368cf">
  <xsd:schema xmlns:xsd="http://www.w3.org/2001/XMLSchema" xmlns:xs="http://www.w3.org/2001/XMLSchema" xmlns:p="http://schemas.microsoft.com/office/2006/metadata/properties" xmlns:ns3="044690ba-3bcd-4bf0-9bed-6c935b699a1b" xmlns:ns4="e18e1d99-ad59-48f1-b4b7-e09c670c4281" targetNamespace="http://schemas.microsoft.com/office/2006/metadata/properties" ma:root="true" ma:fieldsID="bd91240d1f551a398bc54852b2baaade" ns3:_="" ns4:_="">
    <xsd:import namespace="044690ba-3bcd-4bf0-9bed-6c935b699a1b"/>
    <xsd:import namespace="e18e1d99-ad59-48f1-b4b7-e09c670c428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CR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4690ba-3bcd-4bf0-9bed-6c935b699a1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8e1d99-ad59-48f1-b4b7-e09c670c42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92AF9B-CE96-4690-8409-E1C73F7CA8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A3F2FB-3FFD-4598-B34D-9E03B20F2F6D}">
  <ds:schemaRefs>
    <ds:schemaRef ds:uri="http://purl.org/dc/elements/1.1/"/>
    <ds:schemaRef ds:uri="http://schemas.openxmlformats.org/package/2006/metadata/core-properties"/>
    <ds:schemaRef ds:uri="e18e1d99-ad59-48f1-b4b7-e09c670c4281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044690ba-3bcd-4bf0-9bed-6c935b699a1b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26DA4DE-0FD9-4FC6-B0D9-E62A940F52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4690ba-3bcd-4bf0-9bed-6c935b699a1b"/>
    <ds:schemaRef ds:uri="e18e1d99-ad59-48f1-b4b7-e09c670c42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Rúbrica</vt:lpstr>
      <vt:lpstr>Hoja1</vt:lpstr>
    </vt:vector>
  </TitlesOfParts>
  <Manager/>
  <Company>Inacap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Carmen González Chang</dc:creator>
  <cp:keywords/>
  <dc:description/>
  <cp:lastModifiedBy>LABORATORIO 3</cp:lastModifiedBy>
  <cp:revision/>
  <dcterms:created xsi:type="dcterms:W3CDTF">2020-05-08T18:29:46Z</dcterms:created>
  <dcterms:modified xsi:type="dcterms:W3CDTF">2025-05-14T20:39:39Z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0x0101003A2A84260D04624A8B717A5811981AC4</vt:lpwstr>
  </property>
</Properties>
</file>